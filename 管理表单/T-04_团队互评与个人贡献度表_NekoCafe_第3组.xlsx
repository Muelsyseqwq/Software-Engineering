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软件工程\软件工程课程设计任务书_2026春(1)\软件工程课程设计任务书_2026春\Software-Engineering\管理表单\"/>
    </mc:Choice>
  </mc:AlternateContent>
  <xr:revisionPtr revIDLastSave="0" documentId="13_ncr:1_{C0875588-93C9-409C-9616-D3C7B1D52E7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互评（每名组员一行）" sheetId="1" r:id="rId1"/>
    <sheet name="组长评定" sheetId="2" r:id="rId2"/>
    <sheet name="教师评估" sheetId="3" r:id="rId3"/>
    <sheet name="贡献度系数计算" sheetId="4" r:id="rId4"/>
    <sheet name="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4" l="1"/>
  <c r="C6" i="4"/>
  <c r="B6" i="4"/>
  <c r="E6" i="4" s="1"/>
  <c r="D5" i="4"/>
  <c r="C5" i="4"/>
  <c r="B5" i="4"/>
  <c r="E5" i="4" s="1"/>
  <c r="D4" i="4"/>
  <c r="C4" i="4"/>
  <c r="B4" i="4"/>
  <c r="E4" i="4" s="1"/>
  <c r="D3" i="4"/>
  <c r="C3" i="4"/>
  <c r="B3" i="4"/>
  <c r="E3" i="4" s="1"/>
  <c r="D2" i="4"/>
  <c r="C2" i="4"/>
  <c r="B2" i="4"/>
  <c r="E2" i="4" s="1"/>
  <c r="F6" i="3"/>
  <c r="F5" i="3"/>
  <c r="F4" i="3"/>
  <c r="F3" i="3"/>
  <c r="F2" i="3"/>
  <c r="G6" i="2"/>
  <c r="G5" i="2"/>
  <c r="G4" i="2"/>
  <c r="G3" i="2"/>
  <c r="G2" i="2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2" i="4" l="1"/>
  <c r="G2" i="4" s="1"/>
  <c r="F3" i="4"/>
  <c r="G3" i="4" s="1"/>
  <c r="F4" i="4"/>
  <c r="G4" i="4" s="1"/>
  <c r="F6" i="4"/>
  <c r="G6" i="4" s="1"/>
  <c r="F5" i="4"/>
  <c r="G5" i="4" s="1"/>
</calcChain>
</file>

<file path=xl/sharedStrings.xml><?xml version="1.0" encoding="utf-8"?>
<sst xmlns="http://schemas.openxmlformats.org/spreadsheetml/2006/main" count="130" uniqueCount="51">
  <si>
    <t>评价方</t>
  </si>
  <si>
    <t>被评对象</t>
  </si>
  <si>
    <t>出勤(0-10)</t>
  </si>
  <si>
    <t>产出量(0-10)</t>
  </si>
  <si>
    <t>产出质量(0-10)</t>
  </si>
  <si>
    <t>协作配合(0-10)</t>
  </si>
  <si>
    <t>担当与领导力(0-10)</t>
  </si>
  <si>
    <t>小计 / 50</t>
  </si>
  <si>
    <t>一句话评语</t>
  </si>
  <si>
    <t>组员1</t>
  </si>
  <si>
    <t>组员2</t>
  </si>
  <si>
    <t>店员模块完成度较高，联调配合积极。</t>
  </si>
  <si>
    <t>组员3</t>
  </si>
  <si>
    <t>猫咪档案功能清晰，页面维护认真。</t>
  </si>
  <si>
    <t>组员4</t>
  </si>
  <si>
    <t>店长与门店数据模块稳定，沟通及时。</t>
  </si>
  <si>
    <t>组员5</t>
  </si>
  <si>
    <t>运营看板和文档整理充分，答辩准备积极。</t>
  </si>
  <si>
    <t>统筹主流程与公共架构，集成能力强。</t>
  </si>
  <si>
    <t>组长评语</t>
  </si>
  <si>
    <t>Git 活跃度</t>
  </si>
  <si>
    <t>答辩表现</t>
  </si>
  <si>
    <t>核心模块掌握度</t>
  </si>
  <si>
    <t>其他</t>
  </si>
  <si>
    <t>教师评语</t>
  </si>
  <si>
    <t>待指导教师最终确认</t>
  </si>
  <si>
    <t>互评平均(0-50)</t>
  </si>
  <si>
    <t>组长评(0-50)</t>
  </si>
  <si>
    <t>教师评(0-50)</t>
  </si>
  <si>
    <t>加权(互30% 长30% 师40%)</t>
  </si>
  <si>
    <t>相对系数</t>
  </si>
  <si>
    <t>最终系数(0.7-1.2)</t>
  </si>
  <si>
    <t>项目</t>
  </si>
  <si>
    <t>说明</t>
  </si>
  <si>
    <t>提交时间</t>
  </si>
  <si>
    <t>D14 答辩当日 17:00 前</t>
  </si>
  <si>
    <t>提交方式</t>
  </si>
  <si>
    <t>由组长汇总，发指导教师邮箱</t>
  </si>
  <si>
    <t>填写顺序</t>
  </si>
  <si>
    <t>1) 互评（每位组员独立填）→ 2) 组长汇总 → 3) 组长评定 → 4) 教师评估</t>
  </si>
  <si>
    <t>保密性</t>
  </si>
  <si>
    <t>互评分数仅指导教师可见；不公开给组员</t>
  </si>
  <si>
    <t>系数范围</t>
  </si>
  <si>
    <t>0.7-1.2，且团队系数总和 = 团队人数（防止平均化作弊）</t>
  </si>
  <si>
    <t>成员占位说明</t>
  </si>
  <si>
    <t>本表先以组员1—组员5代替真实姓名，最终提交前请替换为本组真实姓名和学号。</t>
  </si>
  <si>
    <t>杨昊田</t>
    <phoneticPr fontId="3" type="noConversion"/>
  </si>
  <si>
    <t>张晓辉</t>
    <phoneticPr fontId="3" type="noConversion"/>
  </si>
  <si>
    <t>赵禹昊</t>
    <phoneticPr fontId="3" type="noConversion"/>
  </si>
  <si>
    <t>张森柏</t>
    <phoneticPr fontId="3" type="noConversion"/>
  </si>
  <si>
    <t>陶浩然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</si>
</sst>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A3D"/>
      </patternFill>
    </fill>
    <fill>
      <patternFill patternType="solid">
        <fgColor rgb="FFF2F8F4"/>
      </patternFill>
    </fill>
  </fills>
  <borders count="2">
    <border>
      <left/>
      <right/>
      <top/>
      <bottom/>
      <diagonal/>
    </border>
    <border>
      <left style="thin">
        <color rgb="FFB8D8C2"/>
      </left>
      <right style="thin">
        <color rgb="FFB8D8C2"/>
      </right>
      <top style="thin">
        <color rgb="FFB8D8C2"/>
      </top>
      <bottom style="thin">
        <color rgb="FFB8D8C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4"/>
  <cols>
    <col min="1" max="2" width="12" customWidth="1"/>
    <col min="3" max="6" width="14" customWidth="1"/>
    <col min="7" max="7" width="18" customWidth="1"/>
    <col min="8" max="8" width="12" customWidth="1"/>
    <col min="9" max="9" width="32" customWidth="1"/>
  </cols>
  <sheetData>
    <row r="1" spans="1:9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5">
      <c r="A2" s="2" t="s">
        <v>46</v>
      </c>
      <c r="B2" s="2" t="s">
        <v>47</v>
      </c>
      <c r="C2" s="2">
        <v>10</v>
      </c>
      <c r="D2" s="2">
        <v>9</v>
      </c>
      <c r="E2" s="2">
        <v>9</v>
      </c>
      <c r="F2" s="2">
        <v>9</v>
      </c>
      <c r="G2" s="2">
        <v>10</v>
      </c>
      <c r="H2" s="2">
        <f t="shared" ref="H2:H21" si="0">SUM(C2:G2)</f>
        <v>47</v>
      </c>
      <c r="I2" s="2" t="s">
        <v>11</v>
      </c>
    </row>
    <row r="3" spans="1:9" ht="14.5">
      <c r="A3" s="2" t="s">
        <v>46</v>
      </c>
      <c r="B3" s="3" t="s">
        <v>48</v>
      </c>
      <c r="C3" s="2">
        <v>10</v>
      </c>
      <c r="D3" s="3">
        <v>9</v>
      </c>
      <c r="E3" s="3">
        <v>9</v>
      </c>
      <c r="F3" s="3">
        <v>9</v>
      </c>
      <c r="G3" s="3">
        <v>8</v>
      </c>
      <c r="H3" s="3">
        <f t="shared" si="0"/>
        <v>45</v>
      </c>
      <c r="I3" s="3" t="s">
        <v>13</v>
      </c>
    </row>
    <row r="4" spans="1:9" ht="14.5">
      <c r="A4" s="2" t="s">
        <v>46</v>
      </c>
      <c r="B4" s="2" t="s">
        <v>49</v>
      </c>
      <c r="C4" s="2">
        <v>10</v>
      </c>
      <c r="D4" s="2">
        <v>9</v>
      </c>
      <c r="E4" s="2">
        <v>9</v>
      </c>
      <c r="F4" s="2">
        <v>9</v>
      </c>
      <c r="G4" s="2">
        <v>10</v>
      </c>
      <c r="H4" s="2">
        <f t="shared" si="0"/>
        <v>47</v>
      </c>
      <c r="I4" s="2" t="s">
        <v>15</v>
      </c>
    </row>
    <row r="5" spans="1:9" ht="29">
      <c r="A5" s="2" t="s">
        <v>46</v>
      </c>
      <c r="B5" s="3" t="s">
        <v>50</v>
      </c>
      <c r="C5" s="2">
        <v>10</v>
      </c>
      <c r="D5" s="3">
        <v>9</v>
      </c>
      <c r="E5" s="3">
        <v>9</v>
      </c>
      <c r="F5" s="3">
        <v>9</v>
      </c>
      <c r="G5" s="3">
        <v>10</v>
      </c>
      <c r="H5" s="3">
        <f t="shared" si="0"/>
        <v>47</v>
      </c>
      <c r="I5" s="3" t="s">
        <v>17</v>
      </c>
    </row>
    <row r="6" spans="1:9" ht="14.5">
      <c r="A6" s="2" t="s">
        <v>47</v>
      </c>
      <c r="B6" s="2" t="s">
        <v>46</v>
      </c>
      <c r="C6" s="2">
        <v>10</v>
      </c>
      <c r="D6" s="2">
        <v>9</v>
      </c>
      <c r="E6" s="2">
        <v>10</v>
      </c>
      <c r="F6" s="2">
        <v>9</v>
      </c>
      <c r="G6" s="2">
        <v>10</v>
      </c>
      <c r="H6" s="2">
        <f t="shared" si="0"/>
        <v>48</v>
      </c>
      <c r="I6" s="2" t="s">
        <v>18</v>
      </c>
    </row>
    <row r="7" spans="1:9" ht="14.5">
      <c r="A7" s="2" t="s">
        <v>47</v>
      </c>
      <c r="B7" s="3" t="s">
        <v>48</v>
      </c>
      <c r="C7" s="2">
        <v>10</v>
      </c>
      <c r="D7" s="2">
        <v>9</v>
      </c>
      <c r="E7" s="2">
        <v>9</v>
      </c>
      <c r="F7" s="2">
        <v>9</v>
      </c>
      <c r="G7" s="2">
        <v>8</v>
      </c>
      <c r="H7" s="2">
        <f t="shared" si="0"/>
        <v>45</v>
      </c>
      <c r="I7" s="2" t="s">
        <v>13</v>
      </c>
    </row>
    <row r="8" spans="1:9" ht="14.5">
      <c r="A8" s="2" t="s">
        <v>47</v>
      </c>
      <c r="B8" s="2" t="s">
        <v>49</v>
      </c>
      <c r="C8" s="2">
        <v>10</v>
      </c>
      <c r="D8" s="2">
        <v>9</v>
      </c>
      <c r="E8" s="2">
        <v>9</v>
      </c>
      <c r="F8" s="2">
        <v>9</v>
      </c>
      <c r="G8" s="2">
        <v>9</v>
      </c>
      <c r="H8" s="2">
        <f t="shared" si="0"/>
        <v>46</v>
      </c>
      <c r="I8" s="2" t="s">
        <v>15</v>
      </c>
    </row>
    <row r="9" spans="1:9" ht="29">
      <c r="A9" s="2" t="s">
        <v>47</v>
      </c>
      <c r="B9" s="3" t="s">
        <v>50</v>
      </c>
      <c r="C9" s="2">
        <v>10</v>
      </c>
      <c r="D9" s="2">
        <v>9</v>
      </c>
      <c r="E9" s="2">
        <v>9</v>
      </c>
      <c r="F9" s="2">
        <v>9</v>
      </c>
      <c r="G9" s="2">
        <v>10</v>
      </c>
      <c r="H9" s="2">
        <f t="shared" si="0"/>
        <v>47</v>
      </c>
      <c r="I9" s="2" t="s">
        <v>17</v>
      </c>
    </row>
    <row r="10" spans="1:9" ht="14.5">
      <c r="A10" s="3" t="s">
        <v>48</v>
      </c>
      <c r="B10" s="2" t="s">
        <v>46</v>
      </c>
      <c r="C10" s="2">
        <v>10</v>
      </c>
      <c r="D10" s="2">
        <v>9</v>
      </c>
      <c r="E10" s="2">
        <v>10</v>
      </c>
      <c r="F10" s="2">
        <v>9</v>
      </c>
      <c r="G10" s="2">
        <v>10</v>
      </c>
      <c r="H10" s="2">
        <f t="shared" si="0"/>
        <v>48</v>
      </c>
      <c r="I10" s="2" t="s">
        <v>18</v>
      </c>
    </row>
    <row r="11" spans="1:9" ht="14.5">
      <c r="A11" s="3" t="s">
        <v>48</v>
      </c>
      <c r="B11" s="2" t="s">
        <v>47</v>
      </c>
      <c r="C11" s="2">
        <v>10</v>
      </c>
      <c r="D11" s="2">
        <v>9</v>
      </c>
      <c r="E11" s="2">
        <v>9</v>
      </c>
      <c r="F11" s="2">
        <v>9</v>
      </c>
      <c r="G11" s="2">
        <v>9</v>
      </c>
      <c r="H11" s="2">
        <f t="shared" si="0"/>
        <v>46</v>
      </c>
      <c r="I11" s="2" t="s">
        <v>11</v>
      </c>
    </row>
    <row r="12" spans="1:9" ht="14.5">
      <c r="A12" s="3" t="s">
        <v>48</v>
      </c>
      <c r="B12" s="2" t="s">
        <v>49</v>
      </c>
      <c r="C12" s="2">
        <v>10</v>
      </c>
      <c r="D12" s="2">
        <v>9</v>
      </c>
      <c r="E12" s="2">
        <v>9</v>
      </c>
      <c r="F12" s="2">
        <v>9</v>
      </c>
      <c r="G12" s="2">
        <v>9</v>
      </c>
      <c r="H12" s="2">
        <f t="shared" si="0"/>
        <v>46</v>
      </c>
      <c r="I12" s="2" t="s">
        <v>15</v>
      </c>
    </row>
    <row r="13" spans="1:9" ht="29">
      <c r="A13" s="3" t="s">
        <v>48</v>
      </c>
      <c r="B13" s="3" t="s">
        <v>50</v>
      </c>
      <c r="C13" s="2">
        <v>10</v>
      </c>
      <c r="D13" s="2">
        <v>9</v>
      </c>
      <c r="E13" s="2">
        <v>9</v>
      </c>
      <c r="F13" s="2">
        <v>9</v>
      </c>
      <c r="G13" s="2">
        <v>10</v>
      </c>
      <c r="H13" s="2">
        <f t="shared" si="0"/>
        <v>47</v>
      </c>
      <c r="I13" s="2" t="s">
        <v>17</v>
      </c>
    </row>
    <row r="14" spans="1:9" ht="14.5">
      <c r="A14" s="2" t="s">
        <v>49</v>
      </c>
      <c r="B14" s="2" t="s">
        <v>46</v>
      </c>
      <c r="C14" s="2">
        <v>10</v>
      </c>
      <c r="D14" s="2">
        <v>9</v>
      </c>
      <c r="E14" s="2">
        <v>10</v>
      </c>
      <c r="F14" s="2">
        <v>9</v>
      </c>
      <c r="G14" s="2">
        <v>10</v>
      </c>
      <c r="H14" s="2">
        <f t="shared" si="0"/>
        <v>48</v>
      </c>
      <c r="I14" s="2" t="s">
        <v>18</v>
      </c>
    </row>
    <row r="15" spans="1:9" ht="14.5">
      <c r="A15" s="2" t="s">
        <v>49</v>
      </c>
      <c r="B15" s="2" t="s">
        <v>47</v>
      </c>
      <c r="C15" s="2">
        <v>10</v>
      </c>
      <c r="D15" s="2">
        <v>9</v>
      </c>
      <c r="E15" s="2">
        <v>9</v>
      </c>
      <c r="F15" s="2">
        <v>9</v>
      </c>
      <c r="G15" s="2">
        <v>9</v>
      </c>
      <c r="H15" s="2">
        <f t="shared" si="0"/>
        <v>46</v>
      </c>
      <c r="I15" s="2" t="s">
        <v>11</v>
      </c>
    </row>
    <row r="16" spans="1:9" ht="14.5">
      <c r="A16" s="2" t="s">
        <v>49</v>
      </c>
      <c r="B16" s="3" t="s">
        <v>48</v>
      </c>
      <c r="C16" s="2">
        <v>10</v>
      </c>
      <c r="D16" s="2">
        <v>9</v>
      </c>
      <c r="E16" s="2">
        <v>9</v>
      </c>
      <c r="F16" s="2">
        <v>9</v>
      </c>
      <c r="G16" s="2">
        <v>8</v>
      </c>
      <c r="H16" s="2">
        <f t="shared" si="0"/>
        <v>45</v>
      </c>
      <c r="I16" s="2" t="s">
        <v>13</v>
      </c>
    </row>
    <row r="17" spans="1:9" ht="29">
      <c r="A17" s="2" t="s">
        <v>49</v>
      </c>
      <c r="B17" s="3" t="s">
        <v>50</v>
      </c>
      <c r="C17" s="2">
        <v>10</v>
      </c>
      <c r="D17" s="2">
        <v>9</v>
      </c>
      <c r="E17" s="2">
        <v>9</v>
      </c>
      <c r="F17" s="2">
        <v>9</v>
      </c>
      <c r="G17" s="2">
        <v>10</v>
      </c>
      <c r="H17" s="2">
        <f t="shared" si="0"/>
        <v>47</v>
      </c>
      <c r="I17" s="2" t="s">
        <v>17</v>
      </c>
    </row>
    <row r="18" spans="1:9" ht="14.5">
      <c r="A18" s="3" t="s">
        <v>50</v>
      </c>
      <c r="B18" s="2" t="s">
        <v>46</v>
      </c>
      <c r="C18" s="2">
        <v>10</v>
      </c>
      <c r="D18" s="2">
        <v>9</v>
      </c>
      <c r="E18" s="2">
        <v>10</v>
      </c>
      <c r="F18" s="2">
        <v>9</v>
      </c>
      <c r="G18" s="2">
        <v>10</v>
      </c>
      <c r="H18" s="2">
        <f t="shared" si="0"/>
        <v>48</v>
      </c>
      <c r="I18" s="2" t="s">
        <v>18</v>
      </c>
    </row>
    <row r="19" spans="1:9" ht="14.5">
      <c r="A19" s="3" t="s">
        <v>50</v>
      </c>
      <c r="B19" s="2" t="s">
        <v>47</v>
      </c>
      <c r="C19" s="2">
        <v>10</v>
      </c>
      <c r="D19" s="2">
        <v>9</v>
      </c>
      <c r="E19" s="2">
        <v>9</v>
      </c>
      <c r="F19" s="2">
        <v>9</v>
      </c>
      <c r="G19" s="2">
        <v>9</v>
      </c>
      <c r="H19" s="2">
        <f t="shared" si="0"/>
        <v>46</v>
      </c>
      <c r="I19" s="2" t="s">
        <v>11</v>
      </c>
    </row>
    <row r="20" spans="1:9" ht="14.5">
      <c r="A20" s="3" t="s">
        <v>50</v>
      </c>
      <c r="B20" s="3" t="s">
        <v>48</v>
      </c>
      <c r="C20" s="2">
        <v>10</v>
      </c>
      <c r="D20" s="2">
        <v>9</v>
      </c>
      <c r="E20" s="2">
        <v>9</v>
      </c>
      <c r="F20" s="2">
        <v>9</v>
      </c>
      <c r="G20" s="2">
        <v>8</v>
      </c>
      <c r="H20" s="2">
        <f t="shared" si="0"/>
        <v>45</v>
      </c>
      <c r="I20" s="2" t="s">
        <v>13</v>
      </c>
    </row>
    <row r="21" spans="1:9" ht="14.5">
      <c r="A21" s="3" t="s">
        <v>50</v>
      </c>
      <c r="B21" s="2" t="s">
        <v>49</v>
      </c>
      <c r="C21" s="2">
        <v>10</v>
      </c>
      <c r="D21" s="2">
        <v>9</v>
      </c>
      <c r="E21" s="2">
        <v>9</v>
      </c>
      <c r="F21" s="2">
        <v>9</v>
      </c>
      <c r="G21" s="2">
        <v>9</v>
      </c>
      <c r="H21" s="2">
        <f t="shared" si="0"/>
        <v>46</v>
      </c>
      <c r="I21" s="2" t="s">
        <v>15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5" width="14" customWidth="1"/>
    <col min="6" max="6" width="18" customWidth="1"/>
    <col min="7" max="7" width="12" customWidth="1"/>
    <col min="8" max="8" width="36" customWidth="1"/>
  </cols>
  <sheetData>
    <row r="1" spans="1:8" ht="3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19</v>
      </c>
    </row>
    <row r="2" spans="1:8" ht="14.5">
      <c r="A2" s="2" t="s">
        <v>9</v>
      </c>
      <c r="B2" s="2">
        <v>10</v>
      </c>
      <c r="C2" s="2">
        <v>10</v>
      </c>
      <c r="D2" s="2">
        <v>10</v>
      </c>
      <c r="E2" s="2">
        <v>9</v>
      </c>
      <c r="F2" s="2">
        <v>9</v>
      </c>
      <c r="G2" s="2">
        <f>SUM(B2:F2)</f>
        <v>48</v>
      </c>
      <c r="H2" s="2" t="s">
        <v>18</v>
      </c>
    </row>
    <row r="3" spans="1:8" ht="14.5">
      <c r="A3" s="3" t="s">
        <v>10</v>
      </c>
      <c r="B3" s="3">
        <v>9</v>
      </c>
      <c r="C3" s="3">
        <v>9</v>
      </c>
      <c r="D3" s="3">
        <v>9</v>
      </c>
      <c r="E3" s="3">
        <v>9</v>
      </c>
      <c r="F3" s="3">
        <v>9</v>
      </c>
      <c r="G3" s="3">
        <f>SUM(B3:F3)</f>
        <v>45</v>
      </c>
      <c r="H3" s="3" t="s">
        <v>11</v>
      </c>
    </row>
    <row r="4" spans="1:8" ht="14.5">
      <c r="A4" s="2" t="s">
        <v>12</v>
      </c>
      <c r="B4" s="2">
        <v>9</v>
      </c>
      <c r="C4" s="2">
        <v>9</v>
      </c>
      <c r="D4" s="2">
        <v>9</v>
      </c>
      <c r="E4" s="2">
        <v>9</v>
      </c>
      <c r="F4" s="2">
        <v>8</v>
      </c>
      <c r="G4" s="2">
        <f>SUM(B4:F4)</f>
        <v>44</v>
      </c>
      <c r="H4" s="2" t="s">
        <v>13</v>
      </c>
    </row>
    <row r="5" spans="1:8" ht="14.5">
      <c r="A5" s="3" t="s">
        <v>14</v>
      </c>
      <c r="B5" s="3">
        <v>9</v>
      </c>
      <c r="C5" s="3">
        <v>9</v>
      </c>
      <c r="D5" s="3">
        <v>9</v>
      </c>
      <c r="E5" s="3">
        <v>9</v>
      </c>
      <c r="F5" s="3">
        <v>9</v>
      </c>
      <c r="G5" s="3">
        <f>SUM(B5:F5)</f>
        <v>45</v>
      </c>
      <c r="H5" s="3" t="s">
        <v>15</v>
      </c>
    </row>
    <row r="6" spans="1:8" ht="14.5">
      <c r="A6" s="2" t="s">
        <v>16</v>
      </c>
      <c r="B6" s="2">
        <v>9</v>
      </c>
      <c r="C6" s="2">
        <v>9</v>
      </c>
      <c r="D6" s="2">
        <v>10</v>
      </c>
      <c r="E6" s="2">
        <v>9</v>
      </c>
      <c r="F6" s="2">
        <v>9</v>
      </c>
      <c r="G6" s="2">
        <f>SUM(B6:F6)</f>
        <v>46</v>
      </c>
      <c r="H6" s="2" t="s">
        <v>17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3" width="14" customWidth="1"/>
    <col min="4" max="4" width="18" customWidth="1"/>
    <col min="5" max="6" width="12" customWidth="1"/>
    <col min="7" max="7" width="38" customWidth="1"/>
  </cols>
  <sheetData>
    <row r="1" spans="1:7" ht="16.5">
      <c r="A1" s="1" t="s">
        <v>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7</v>
      </c>
      <c r="G1" s="1" t="s">
        <v>24</v>
      </c>
    </row>
    <row r="2" spans="1:7" ht="14.5">
      <c r="A2" s="2" t="s">
        <v>9</v>
      </c>
      <c r="B2" s="2">
        <v>10</v>
      </c>
      <c r="C2" s="2">
        <v>9</v>
      </c>
      <c r="D2" s="2">
        <v>10</v>
      </c>
      <c r="E2" s="2">
        <v>9</v>
      </c>
      <c r="F2" s="2">
        <f>SUM(B2:E2)</f>
        <v>38</v>
      </c>
      <c r="G2" s="2" t="s">
        <v>25</v>
      </c>
    </row>
    <row r="3" spans="1:7" ht="14.5">
      <c r="A3" s="3" t="s">
        <v>10</v>
      </c>
      <c r="B3" s="3">
        <v>9</v>
      </c>
      <c r="C3" s="3">
        <v>9</v>
      </c>
      <c r="D3" s="3">
        <v>9</v>
      </c>
      <c r="E3" s="3">
        <v>9</v>
      </c>
      <c r="F3" s="3">
        <f>SUM(B3:E3)</f>
        <v>36</v>
      </c>
      <c r="G3" s="3" t="s">
        <v>25</v>
      </c>
    </row>
    <row r="4" spans="1:7" ht="14.5">
      <c r="A4" s="2" t="s">
        <v>12</v>
      </c>
      <c r="B4" s="2">
        <v>9</v>
      </c>
      <c r="C4" s="2">
        <v>9</v>
      </c>
      <c r="D4" s="2">
        <v>9</v>
      </c>
      <c r="E4" s="2">
        <v>8</v>
      </c>
      <c r="F4" s="2">
        <f>SUM(B4:E4)</f>
        <v>35</v>
      </c>
      <c r="G4" s="2" t="s">
        <v>25</v>
      </c>
    </row>
    <row r="5" spans="1:7" ht="14.5">
      <c r="A5" s="3" t="s">
        <v>14</v>
      </c>
      <c r="B5" s="3">
        <v>9</v>
      </c>
      <c r="C5" s="3">
        <v>9</v>
      </c>
      <c r="D5" s="3">
        <v>9</v>
      </c>
      <c r="E5" s="3">
        <v>9</v>
      </c>
      <c r="F5" s="3">
        <f>SUM(B5:E5)</f>
        <v>36</v>
      </c>
      <c r="G5" s="3" t="s">
        <v>25</v>
      </c>
    </row>
    <row r="6" spans="1:7" ht="14.5">
      <c r="A6" s="2" t="s">
        <v>16</v>
      </c>
      <c r="B6" s="2">
        <v>9</v>
      </c>
      <c r="C6" s="2">
        <v>9</v>
      </c>
      <c r="D6" s="2">
        <v>10</v>
      </c>
      <c r="E6" s="2">
        <v>9</v>
      </c>
      <c r="F6" s="2">
        <f>SUM(B6:E6)</f>
        <v>37</v>
      </c>
      <c r="G6" s="2" t="s">
        <v>25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16" customWidth="1"/>
    <col min="3" max="4" width="14" customWidth="1"/>
    <col min="5" max="5" width="24" customWidth="1"/>
    <col min="6" max="6" width="14" customWidth="1"/>
    <col min="7" max="7" width="18" customWidth="1"/>
  </cols>
  <sheetData>
    <row r="1" spans="1:7" ht="33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ht="14.5">
      <c r="A2" s="2" t="s">
        <v>9</v>
      </c>
      <c r="B2" s="2" t="e">
        <f>AVERAGEIF('互评（每名组员一行）'!B:B,A2,'互评（每名组员一行）'!H:H)</f>
        <v>#DIV/0!</v>
      </c>
      <c r="C2" s="2">
        <f>VLOOKUP(A2,组长评定!A:G,7,FALSE)</f>
        <v>48</v>
      </c>
      <c r="D2" s="2">
        <f>VLOOKUP(A2,教师评估!A:F,6,FALSE)</f>
        <v>38</v>
      </c>
      <c r="E2" s="2" t="e">
        <f>B2*0.3+C2*0.3+D2*0.4</f>
        <v>#DIV/0!</v>
      </c>
      <c r="F2" s="2" t="e">
        <f>E2/AVERAGE(E$2:E$6)</f>
        <v>#DIV/0!</v>
      </c>
      <c r="G2" s="2" t="e">
        <f>MIN(1.2,MAX(0.7,ROUND(F2,2)))</f>
        <v>#DIV/0!</v>
      </c>
    </row>
    <row r="3" spans="1:7" ht="14.5">
      <c r="A3" s="3" t="s">
        <v>10</v>
      </c>
      <c r="B3" s="3" t="e">
        <f>AVERAGEIF('互评（每名组员一行）'!B:B,A3,'互评（每名组员一行）'!H:H)</f>
        <v>#DIV/0!</v>
      </c>
      <c r="C3" s="3">
        <f>VLOOKUP(A3,组长评定!A:G,7,FALSE)</f>
        <v>45</v>
      </c>
      <c r="D3" s="3">
        <f>VLOOKUP(A3,教师评估!A:F,6,FALSE)</f>
        <v>36</v>
      </c>
      <c r="E3" s="3" t="e">
        <f>B3*0.3+C3*0.3+D3*0.4</f>
        <v>#DIV/0!</v>
      </c>
      <c r="F3" s="3" t="e">
        <f>E3/AVERAGE(E$2:E$6)</f>
        <v>#DIV/0!</v>
      </c>
      <c r="G3" s="3" t="e">
        <f>MIN(1.2,MAX(0.7,ROUND(F3,2)))</f>
        <v>#DIV/0!</v>
      </c>
    </row>
    <row r="4" spans="1:7" ht="14.5">
      <c r="A4" s="2" t="s">
        <v>12</v>
      </c>
      <c r="B4" s="2" t="e">
        <f>AVERAGEIF('互评（每名组员一行）'!B:B,A4,'互评（每名组员一行）'!H:H)</f>
        <v>#DIV/0!</v>
      </c>
      <c r="C4" s="2">
        <f>VLOOKUP(A4,组长评定!A:G,7,FALSE)</f>
        <v>44</v>
      </c>
      <c r="D4" s="2">
        <f>VLOOKUP(A4,教师评估!A:F,6,FALSE)</f>
        <v>35</v>
      </c>
      <c r="E4" s="2" t="e">
        <f>B4*0.3+C4*0.3+D4*0.4</f>
        <v>#DIV/0!</v>
      </c>
      <c r="F4" s="2" t="e">
        <f>E4/AVERAGE(E$2:E$6)</f>
        <v>#DIV/0!</v>
      </c>
      <c r="G4" s="2" t="e">
        <f>MIN(1.2,MAX(0.7,ROUND(F4,2)))</f>
        <v>#DIV/0!</v>
      </c>
    </row>
    <row r="5" spans="1:7" ht="14.5">
      <c r="A5" s="3" t="s">
        <v>14</v>
      </c>
      <c r="B5" s="3" t="e">
        <f>AVERAGEIF('互评（每名组员一行）'!B:B,A5,'互评（每名组员一行）'!H:H)</f>
        <v>#DIV/0!</v>
      </c>
      <c r="C5" s="3">
        <f>VLOOKUP(A5,组长评定!A:G,7,FALSE)</f>
        <v>45</v>
      </c>
      <c r="D5" s="3">
        <f>VLOOKUP(A5,教师评估!A:F,6,FALSE)</f>
        <v>36</v>
      </c>
      <c r="E5" s="3" t="e">
        <f>B5*0.3+C5*0.3+D5*0.4</f>
        <v>#DIV/0!</v>
      </c>
      <c r="F5" s="3" t="e">
        <f>E5/AVERAGE(E$2:E$6)</f>
        <v>#DIV/0!</v>
      </c>
      <c r="G5" s="3" t="e">
        <f>MIN(1.2,MAX(0.7,ROUND(F5,2)))</f>
        <v>#DIV/0!</v>
      </c>
    </row>
    <row r="6" spans="1:7" ht="14.5">
      <c r="A6" s="2" t="s">
        <v>16</v>
      </c>
      <c r="B6" s="2" t="e">
        <f>AVERAGEIF('互评（每名组员一行）'!B:B,A6,'互评（每名组员一行）'!H:H)</f>
        <v>#DIV/0!</v>
      </c>
      <c r="C6" s="2">
        <f>VLOOKUP(A6,组长评定!A:G,7,FALSE)</f>
        <v>46</v>
      </c>
      <c r="D6" s="2">
        <f>VLOOKUP(A6,教师评估!A:F,6,FALSE)</f>
        <v>37</v>
      </c>
      <c r="E6" s="2" t="e">
        <f>B6*0.3+C6*0.3+D6*0.4</f>
        <v>#DIV/0!</v>
      </c>
      <c r="F6" s="2" t="e">
        <f>E6/AVERAGE(E$2:E$6)</f>
        <v>#DIV/0!</v>
      </c>
      <c r="G6" s="2" t="e">
        <f>MIN(1.2,MAX(0.7,ROUND(F6,2)))</f>
        <v>#DIV/0!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60" customWidth="1"/>
  </cols>
  <sheetData>
    <row r="1" spans="1:2" ht="16.5">
      <c r="A1" s="1" t="s">
        <v>32</v>
      </c>
      <c r="B1" s="1" t="s">
        <v>33</v>
      </c>
    </row>
    <row r="2" spans="1:2" ht="14.5">
      <c r="A2" s="2" t="s">
        <v>34</v>
      </c>
      <c r="B2" s="2" t="s">
        <v>35</v>
      </c>
    </row>
    <row r="3" spans="1:2" ht="14.5">
      <c r="A3" s="3" t="s">
        <v>36</v>
      </c>
      <c r="B3" s="3" t="s">
        <v>37</v>
      </c>
    </row>
    <row r="4" spans="1:2" ht="14.5">
      <c r="A4" s="2" t="s">
        <v>38</v>
      </c>
      <c r="B4" s="2" t="s">
        <v>39</v>
      </c>
    </row>
    <row r="5" spans="1:2" ht="14.5">
      <c r="A5" s="3" t="s">
        <v>40</v>
      </c>
      <c r="B5" s="3" t="s">
        <v>41</v>
      </c>
    </row>
    <row r="6" spans="1:2" ht="14.5">
      <c r="A6" s="2" t="s">
        <v>42</v>
      </c>
      <c r="B6" s="2" t="s">
        <v>43</v>
      </c>
    </row>
    <row r="7" spans="1:2" ht="29">
      <c r="A7" s="2" t="s">
        <v>44</v>
      </c>
      <c r="B7" s="2" t="s">
        <v>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互评（每名组员一行）</vt:lpstr>
      <vt:lpstr>组长评定</vt:lpstr>
      <vt:lpstr>教师评估</vt:lpstr>
      <vt:lpstr>贡献度系数计算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禹昊 赵</cp:lastModifiedBy>
  <dcterms:created xsi:type="dcterms:W3CDTF">2026-05-07T01:54:02Z</dcterms:created>
  <dcterms:modified xsi:type="dcterms:W3CDTF">2026-06-13T13:44:57Z</dcterms:modified>
</cp:coreProperties>
</file>